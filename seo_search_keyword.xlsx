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cooly\Desktop\seo_auto_check\"/>
    </mc:Choice>
  </mc:AlternateContent>
  <xr:revisionPtr revIDLastSave="0" documentId="13_ncr:1_{30BBCD03-B70E-4EC6-89FF-8B5A3695904A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KEYWORD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" i="1" l="1"/>
  <c r="A1" i="1"/>
  <c r="A3" i="1"/>
  <c r="A2" i="1"/>
</calcChain>
</file>

<file path=xl/sharedStrings.xml><?xml version="1.0" encoding="utf-8"?>
<sst xmlns="http://schemas.openxmlformats.org/spreadsheetml/2006/main" count="19" uniqueCount="18">
  <si>
    <t>紅外光譜儀</t>
  </si>
  <si>
    <t>分光光度計</t>
  </si>
  <si>
    <t>精密烘箱</t>
  </si>
  <si>
    <t>ftir</t>
  </si>
  <si>
    <t>近紅外光譜儀</t>
  </si>
  <si>
    <t>拉曼光譜儀</t>
  </si>
  <si>
    <t>旋光度計</t>
    <phoneticPr fontId="1" type="noConversion"/>
  </si>
  <si>
    <t>uv vis</t>
  </si>
  <si>
    <t>Raman</t>
  </si>
  <si>
    <t>恆溫恆濕箱</t>
  </si>
  <si>
    <t>微流體</t>
  </si>
  <si>
    <t>溶離試驗</t>
  </si>
  <si>
    <t>dissolution USP4</t>
  </si>
  <si>
    <t>nanodrop</t>
  </si>
  <si>
    <t>microfluidic</t>
  </si>
  <si>
    <t>熱分析</t>
  </si>
  <si>
    <t>FTIR ATR</t>
  </si>
  <si>
    <t>KEYWORDS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</si>
</sst>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新細明體"/>
      <family val="2"/>
      <scheme val="minor"/>
    </font>
    <font>
      <sz val="9"/>
      <name val="新細明體"/>
      <family val="2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8"/>
  <sheetViews>
    <sheetView tabSelected="1" zoomScale="177" workbookViewId="0">
      <selection activeCell="C3" sqref="C3"/>
    </sheetView>
  </sheetViews>
  <sheetFormatPr defaultColWidth="9" defaultRowHeight="15" x14ac:dyDescent="0.3"/>
  <cols>
    <col min="1" max="1" width="9" customWidth="1"/>
    <col min="2" max="2" width="17.375" bestFit="1" customWidth="1"/>
  </cols>
  <sheetData>
    <row r="1" spans="1:3" x14ac:dyDescent="0.3">
      <c r="A1" t="str">
        <f>"Total: " &amp; COUNTA(B2:B10000)</f>
        <v>Total: 3</v>
      </c>
      <c r="B1" t="s">
        <v>17</v>
      </c>
    </row>
    <row r="2" spans="1:3" x14ac:dyDescent="0.3">
      <c r="A2">
        <f>IF(B2&lt;&gt;"", COUNTA($B$2:B2), "")</f>
        <v>1</v>
      </c>
      <c r="B2" t="s">
        <v>0</v>
      </c>
    </row>
    <row r="3" spans="1:3" x14ac:dyDescent="0.3">
      <c r="A3">
        <f>IF(B3&lt;&gt;"", COUNTA($B$2:B3), "")</f>
        <v>2</v>
      </c>
      <c r="B3" t="s">
        <v>1</v>
      </c>
    </row>
    <row r="4" spans="1:3" x14ac:dyDescent="0.3">
      <c r="A4">
        <f>IF(B4&lt;&gt;"", COUNTA($B$2:B4), "")</f>
        <v>3</v>
      </c>
      <c r="B4" t="s">
        <v>11</v>
      </c>
      <c r="C4" t="s">
        <v>2</v>
      </c>
    </row>
    <row r="5" spans="1:3" x14ac:dyDescent="0.3">
      <c r="C5" t="s">
        <v>3</v>
      </c>
    </row>
    <row r="6" spans="1:3" x14ac:dyDescent="0.3">
      <c r="C6" t="s">
        <v>4</v>
      </c>
    </row>
    <row r="7" spans="1:3" x14ac:dyDescent="0.3">
      <c r="C7" t="s">
        <v>5</v>
      </c>
    </row>
    <row r="8" spans="1:3" x14ac:dyDescent="0.3">
      <c r="C8" t="s">
        <v>6</v>
      </c>
    </row>
    <row r="9" spans="1:3" x14ac:dyDescent="0.3">
      <c r="C9" t="s">
        <v>7</v>
      </c>
    </row>
    <row r="10" spans="1:3" x14ac:dyDescent="0.3">
      <c r="C10" t="s">
        <v>8</v>
      </c>
    </row>
    <row r="11" spans="1:3" x14ac:dyDescent="0.3">
      <c r="C11" t="s">
        <v>9</v>
      </c>
    </row>
    <row r="12" spans="1:3" x14ac:dyDescent="0.3">
      <c r="C12" t="s">
        <v>10</v>
      </c>
    </row>
    <row r="13" spans="1:3" x14ac:dyDescent="0.3">
      <c r="C13" t="s">
        <v>11</v>
      </c>
    </row>
    <row r="14" spans="1:3" x14ac:dyDescent="0.3">
      <c r="C14" t="s">
        <v>12</v>
      </c>
    </row>
    <row r="15" spans="1:3" x14ac:dyDescent="0.3">
      <c r="C15" t="s">
        <v>13</v>
      </c>
    </row>
    <row r="16" spans="1:3" x14ac:dyDescent="0.3">
      <c r="C16" t="s">
        <v>14</v>
      </c>
    </row>
    <row r="17" spans="3:3" x14ac:dyDescent="0.3">
      <c r="C17" t="s">
        <v>15</v>
      </c>
    </row>
    <row r="18" spans="3:3" x14ac:dyDescent="0.3">
      <c r="C18" t="s">
        <v>16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KEYWORDS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泳諆 賴</cp:lastModifiedBy>
  <dcterms:created xsi:type="dcterms:W3CDTF">2025-12-10T10:11:00Z</dcterms:created>
  <dcterms:modified xsi:type="dcterms:W3CDTF">2025-12-11T13:41:02Z</dcterms:modified>
</cp:coreProperties>
</file>